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dule1_Sequence" sheetId="2" state="visible" r:id="rId4"/>
    <sheet name="Module2_Comparative" sheetId="3" state="visible" r:id="rId5"/>
    <sheet name="Module3_Structure" sheetId="4" state="visible" r:id="rId6"/>
    <sheet name="Referen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<sst xmlns="http://schemas.openxmlformats.org/spreadsheetml/2006/main" count="344" uniqueCount="291">
  <si>
    <t xml:space="preserve">Computational Investigation of IsPETase</t>
  </si>
  <si>
    <t xml:space="preserve">Sequence, Comparative, and Structural Analysis</t>
  </si>
  <si>
    <t xml:space="preserve">Research Question:</t>
  </si>
  <si>
    <t xml:space="preserve">How do sequence features and structural organization of IsPETase relate to molecular features associated with PET degradation?</t>
  </si>
  <si>
    <t xml:space="preserve">Module</t>
  </si>
  <si>
    <t xml:space="preserve">Focus</t>
  </si>
  <si>
    <t xml:space="preserve">Status</t>
  </si>
  <si>
    <t xml:space="preserve">Key Finding</t>
  </si>
  <si>
    <t xml:space="preserve">Module 1</t>
  </si>
  <si>
    <t xml:space="preserve">Sequence &amp; Functional Characterization</t>
  </si>
  <si>
    <t xml:space="preserve">Complete</t>
  </si>
  <si>
    <t xml:space="preserve">Catalytic triad Ser160-Asp206-His237 identified directly from the raw sequence (G-x-S-x-G nucleophile elbow motif).</t>
  </si>
  <si>
    <t xml:space="preserve">Module 2</t>
  </si>
  <si>
    <t xml:space="preserve">Comparative Sequence Analysis</t>
  </si>
  <si>
    <t xml:space="preserve">Triad 100% conserved across all 6 comparison sequences despite only 45-52% overall identity.</t>
  </si>
  <si>
    <t xml:space="preserve">Module 3</t>
  </si>
  <si>
    <t xml:space="preserve">Structure-Function Analysis</t>
  </si>
  <si>
    <t xml:space="preserve">Triad independently confirmed in PDB 5XJH; catalytic distances measured at 2.7-3.1 A (hydrogen-bonding range).</t>
  </si>
  <si>
    <t xml:space="preserve">Sources used:</t>
  </si>
  <si>
    <t xml:space="preserve">UniProt - InterPro - NCBI BLASTp - EBI Clustal Omega - RCSB PDB - PyMOL</t>
  </si>
  <si>
    <t xml:space="preserve">MODULE 1 -- Sequence &amp; Functional Characterization</t>
  </si>
  <si>
    <t xml:space="preserve">A. Identity</t>
  </si>
  <si>
    <t xml:space="preserve">UniProt Accession</t>
  </si>
  <si>
    <t xml:space="preserve">A0A0K8P6T7</t>
  </si>
  <si>
    <t xml:space="preserve">Entry Name</t>
  </si>
  <si>
    <t xml:space="preserve">PETH_PISS1</t>
  </si>
  <si>
    <t xml:space="preserve">Review Status</t>
  </si>
  <si>
    <t xml:space="preserve">Reviewed (Swiss-Prot)</t>
  </si>
  <si>
    <t xml:space="preserve">Gene</t>
  </si>
  <si>
    <t xml:space="preserve">ISF6_4831</t>
  </si>
  <si>
    <t xml:space="preserve">EC Number</t>
  </si>
  <si>
    <t xml:space="preserve">3.1.1.101</t>
  </si>
  <si>
    <t xml:space="preserve">Organism (2016 name)</t>
  </si>
  <si>
    <t xml:space="preserve">Ideonella sakaiensis</t>
  </si>
  <si>
    <t xml:space="preserve">Organism (2023 reclassification)</t>
  </si>
  <si>
    <t xml:space="preserve">Piscinibacter sakaiensis</t>
  </si>
  <si>
    <t xml:space="preserve">Liu et al. 2023</t>
  </si>
  <si>
    <t xml:space="preserve">Organism (2026 reclassification)</t>
  </si>
  <si>
    <t xml:space="preserve">Pseudideonella sakaiensis</t>
  </si>
  <si>
    <t xml:space="preserve">Lu &amp; Chen 2026; databases lag each other on this</t>
  </si>
  <si>
    <t xml:space="preserve">PDB structures available</t>
  </si>
  <si>
    <t xml:space="preserve">UniProt homology cluster size</t>
  </si>
  <si>
    <t xml:space="preserve">~4,000</t>
  </si>
  <si>
    <t xml:space="preserve">B. Sequence Properties</t>
  </si>
  <si>
    <t xml:space="preserve">Length (aa)</t>
  </si>
  <si>
    <t xml:space="preserve">Molecular Weight (Da)</t>
  </si>
  <si>
    <t xml:space="preserve">Confirmed via ExPASy ProtParam - exact match to computed value</t>
  </si>
  <si>
    <t xml:space="preserve">Theoretical pI</t>
  </si>
  <si>
    <t xml:space="preserve">Confirmed via ExPASy ProtParam</t>
  </si>
  <si>
    <t xml:space="preserve">Aliphatic Index</t>
  </si>
  <si>
    <t xml:space="preserve">Instability Index</t>
  </si>
  <si>
    <t xml:space="preserve">Confirmed via ExPASy ProtParam; II &lt; 40 classifies the protein as STABLE</t>
  </si>
  <si>
    <t xml:space="preserve">GRAVY (hydropathicity)</t>
  </si>
  <si>
    <t xml:space="preserve">Confirmed via ExPASy ProtParam; negative = overall hydrophilic, consistent with a soluble secreted enzyme</t>
  </si>
  <si>
    <t xml:space="preserve">Charged residues</t>
  </si>
  <si>
    <t xml:space="preserve">13 negative (Asp+Glu), 22 positive (Arg+Lys)</t>
  </si>
  <si>
    <t xml:space="preserve">Net positive charge is consistent with the high theoretical pI</t>
  </si>
  <si>
    <t xml:space="preserve">C. Amino Acid Composition</t>
  </si>
  <si>
    <t xml:space="preserve">Residue</t>
  </si>
  <si>
    <t xml:space="preserve">Count</t>
  </si>
  <si>
    <t xml:space="preserve">% of Total</t>
  </si>
  <si>
    <t xml:space="preserve">Ala (A)</t>
  </si>
  <si>
    <t xml:space="preserve">Cys (C)</t>
  </si>
  <si>
    <t xml:space="preserve">Asp (D)</t>
  </si>
  <si>
    <t xml:space="preserve">Glu (E)</t>
  </si>
  <si>
    <t xml:space="preserve">Phe (F)</t>
  </si>
  <si>
    <t xml:space="preserve">Gly (G)</t>
  </si>
  <si>
    <t xml:space="preserve">His (H)</t>
  </si>
  <si>
    <t xml:space="preserve">Ile (I)</t>
  </si>
  <si>
    <t xml:space="preserve">Lys (K)</t>
  </si>
  <si>
    <t xml:space="preserve">Leu (L)</t>
  </si>
  <si>
    <t xml:space="preserve">Met (M)</t>
  </si>
  <si>
    <t xml:space="preserve">Asn (N)</t>
  </si>
  <si>
    <t xml:space="preserve">Pro (P)</t>
  </si>
  <si>
    <t xml:space="preserve">Gln (Q)</t>
  </si>
  <si>
    <t xml:space="preserve">Arg (R)</t>
  </si>
  <si>
    <t xml:space="preserve">Ser (S)</t>
  </si>
  <si>
    <t xml:space="preserve">Thr (T)</t>
  </si>
  <si>
    <t xml:space="preserve">Val (V)</t>
  </si>
  <si>
    <t xml:space="preserve">Trp (W)</t>
  </si>
  <si>
    <t xml:space="preserve">Tyr (Y)</t>
  </si>
  <si>
    <t xml:space="preserve">Total / check</t>
  </si>
  <si>
    <t xml:space="preserve">D. Domain / Family Classification (InterPro)</t>
  </si>
  <si>
    <t xml:space="preserve">InterPro ID</t>
  </si>
  <si>
    <t xml:space="preserve">Name</t>
  </si>
  <si>
    <t xml:space="preserve">Level</t>
  </si>
  <si>
    <t xml:space="preserve">IPR029058</t>
  </si>
  <si>
    <t xml:space="preserve">Alpha/Beta hydrolase fold</t>
  </si>
  <si>
    <t xml:space="preserve">Superfamily</t>
  </si>
  <si>
    <t xml:space="preserve">IPR041127</t>
  </si>
  <si>
    <t xml:space="preserve">PET hydrolase/cutinase-like</t>
  </si>
  <si>
    <t xml:space="preserve">Domain</t>
  </si>
  <si>
    <t xml:space="preserve">IPR050261</t>
  </si>
  <si>
    <t xml:space="preserve">FrsA/Cutinase/Hydrolase-like</t>
  </si>
  <si>
    <t xml:space="preserve">Family</t>
  </si>
  <si>
    <t xml:space="preserve">E. Catalytic &amp; Key Residues</t>
  </si>
  <si>
    <t xml:space="preserve">Auth Position</t>
  </si>
  <si>
    <t xml:space="preserve">Role</t>
  </si>
  <si>
    <t xml:space="preserve">Evidence</t>
  </si>
  <si>
    <t xml:space="preserve">Ser160</t>
  </si>
  <si>
    <t xml:space="preserve">Nucleophile</t>
  </si>
  <si>
    <t xml:space="preserve">G-x-S-x-G sequence motif; Joo et al. 2018; confirmed in PDB 5XJH</t>
  </si>
  <si>
    <t xml:space="preserve">Asp206</t>
  </si>
  <si>
    <t xml:space="preserve">Acid</t>
  </si>
  <si>
    <t xml:space="preserve">Joo et al. 2018; confirmed in PDB 5XJH</t>
  </si>
  <si>
    <t xml:space="preserve">His237</t>
  </si>
  <si>
    <t xml:space="preserve">Base</t>
  </si>
  <si>
    <t xml:space="preserve">Cys203</t>
  </si>
  <si>
    <t xml:space="preserve">Structural (confirmed disulfide with Cys239)</t>
  </si>
  <si>
    <t xml:space="preserve">Unique to IsPETase among known PET hydrolases -- Ala at this position in related cutinases (Joo et al. 2018; Chek et al. 2026); matches this project's Module 2 alignment</t>
  </si>
  <si>
    <t xml:space="preserve">Trp185</t>
  </si>
  <si>
    <t xml:space="preserve">Substrate binding / product release</t>
  </si>
  <si>
    <t xml:space="preserve">Wobbling side chain within flexible beta6-beta7 loop, enabled by S214/I218 (Chen et al. 2021; Fecker et al. 2018; Crnjar et al. 2023)</t>
  </si>
  <si>
    <t xml:space="preserve">F. Signal Peptide</t>
  </si>
  <si>
    <t xml:space="preserve">Predicted region</t>
  </si>
  <si>
    <t xml:space="preserve">~residues 1-30</t>
  </si>
  <si>
    <t xml:space="preserve">Hydrophobic N-terminal stretch in raw sequence</t>
  </si>
  <si>
    <t xml:space="preserve">PENDING</t>
  </si>
  <si>
    <t xml:space="preserve">Not yet confirmed via InterPro's signal-peptide caller</t>
  </si>
  <si>
    <t xml:space="preserve">MODULE 2 -- Comparative Sequence Analysis</t>
  </si>
  <si>
    <t xml:space="preserve">A. Search Parameters</t>
  </si>
  <si>
    <t xml:space="preserve">Query</t>
  </si>
  <si>
    <t xml:space="preserve">A0A0K8P6T7 (IsPETase)</t>
  </si>
  <si>
    <t xml:space="preserve">Tool</t>
  </si>
  <si>
    <t xml:space="preserve">NCBI BLASTp</t>
  </si>
  <si>
    <t xml:space="preserve">Database</t>
  </si>
  <si>
    <t xml:space="preserve">UniProtKB/Swiss-Prot (reviewed)</t>
  </si>
  <si>
    <t xml:space="preserve">B. Raw BLASTp Hits (top 10, self-hit excluded)</t>
  </si>
  <si>
    <t xml:space="preserve">Accession</t>
  </si>
  <si>
    <t xml:space="preserve">Description</t>
  </si>
  <si>
    <t xml:space="preserve">Organism</t>
  </si>
  <si>
    <t xml:space="preserve">% Identity</t>
  </si>
  <si>
    <t xml:space="preserve">E-value</t>
  </si>
  <si>
    <t xml:space="preserve">Query Cover</t>
  </si>
  <si>
    <t xml:space="preserve">In Final Set?</t>
  </si>
  <si>
    <t xml:space="preserve">Q47RJ7.1</t>
  </si>
  <si>
    <t xml:space="preserve">Cutinase / PET hydrolase</t>
  </si>
  <si>
    <t xml:space="preserve">Thermobifida fusca</t>
  </si>
  <si>
    <t xml:space="preserve">2e-83</t>
  </si>
  <si>
    <t xml:space="preserve">Yes</t>
  </si>
  <si>
    <t xml:space="preserve">E9LVH8.1</t>
  </si>
  <si>
    <t xml:space="preserve">Cutinase 1</t>
  </si>
  <si>
    <t xml:space="preserve">Thermobifida cellulosilytica</t>
  </si>
  <si>
    <t xml:space="preserve">3e-83</t>
  </si>
  <si>
    <t xml:space="preserve">E9LVH9.1</t>
  </si>
  <si>
    <t xml:space="preserve">Cutinase 2</t>
  </si>
  <si>
    <t xml:space="preserve">9e-81</t>
  </si>
  <si>
    <t xml:space="preserve">No - paralog of E9LVH8.1</t>
  </si>
  <si>
    <t xml:space="preserve">G8GER6.1</t>
  </si>
  <si>
    <t xml:space="preserve">Cutinase cut1</t>
  </si>
  <si>
    <t xml:space="preserve">2e-80</t>
  </si>
  <si>
    <t xml:space="preserve">No - paralog of Q47RJ7.1</t>
  </si>
  <si>
    <t xml:space="preserve">(confirm from your BLAST output)</t>
  </si>
  <si>
    <t xml:space="preserve">Bis(hydroxyethyl) terephthalate hydrolase (BHETase)</t>
  </si>
  <si>
    <t xml:space="preserve">Streptomyces sp.</t>
  </si>
  <si>
    <t xml:space="preserve">1e-78</t>
  </si>
  <si>
    <t xml:space="preserve">No - optional extra</t>
  </si>
  <si>
    <t xml:space="preserve">D4Q9N1.2</t>
  </si>
  <si>
    <t xml:space="preserve">Cutinase est1</t>
  </si>
  <si>
    <t xml:space="preserve">Thermobifida alba</t>
  </si>
  <si>
    <t xml:space="preserve">2e-78</t>
  </si>
  <si>
    <t xml:space="preserve">F7IX06.1</t>
  </si>
  <si>
    <t xml:space="preserve">Cutinase est2</t>
  </si>
  <si>
    <t xml:space="preserve">2e-77</t>
  </si>
  <si>
    <t xml:space="preserve">No - paralog of D4Q9N1.2</t>
  </si>
  <si>
    <t xml:space="preserve">P0DX29.1</t>
  </si>
  <si>
    <t xml:space="preserve">Cutinase / AML / Lipase</t>
  </si>
  <si>
    <t xml:space="preserve">Amycolatopsis sp.</t>
  </si>
  <si>
    <t xml:space="preserve">1e-75</t>
  </si>
  <si>
    <t xml:space="preserve">G9BY57.1</t>
  </si>
  <si>
    <t xml:space="preserve">Leaf-branch compost cutinase (LCC)</t>
  </si>
  <si>
    <t xml:space="preserve">unidentified prokaryote</t>
  </si>
  <si>
    <t xml:space="preserve">4e-75</t>
  </si>
  <si>
    <t xml:space="preserve">P19833.1</t>
  </si>
  <si>
    <t xml:space="preserve">Lipase 1 / Triacylglycerol lipase</t>
  </si>
  <si>
    <t xml:space="preserve">Moraxella sp. TA144</t>
  </si>
  <si>
    <t xml:space="preserve">4e-66</t>
  </si>
  <si>
    <t xml:space="preserve">Yes - outgroup</t>
  </si>
  <si>
    <t xml:space="preserve">C. Final Comparison Set (6 sequences; redundant paralogs dropped)</t>
  </si>
  <si>
    <t xml:space="preserve">% Identity to IsPETase</t>
  </si>
  <si>
    <t xml:space="preserve">Piscinibacter / Pseudideonella sakaiensis</t>
  </si>
  <si>
    <t xml:space="preserve">Query / reference</t>
  </si>
  <si>
    <t xml:space="preserve">Comparison</t>
  </si>
  <si>
    <t xml:space="preserve">LCC (unidentified prokaryote)</t>
  </si>
  <si>
    <t xml:space="preserve">Outgroup</t>
  </si>
  <si>
    <t xml:space="preserve">Average identity (excl. query)</t>
  </si>
  <si>
    <t xml:space="preserve">D. Catalytic Triad Conservation</t>
  </si>
  <si>
    <t xml:space="preserve">Sequence</t>
  </si>
  <si>
    <t xml:space="preserve">Ser160 site</t>
  </si>
  <si>
    <t xml:space="preserve">Asp206 site</t>
  </si>
  <si>
    <t xml:space="preserve">His237 site</t>
  </si>
  <si>
    <t xml:space="preserve">IsPETase (query)</t>
  </si>
  <si>
    <t xml:space="preserve">S</t>
  </si>
  <si>
    <t xml:space="preserve">D</t>
  </si>
  <si>
    <t xml:space="preserve">H</t>
  </si>
  <si>
    <t xml:space="preserve">T. fusca cutinase</t>
  </si>
  <si>
    <t xml:space="preserve">T. cellulosilytica Cutinase 1</t>
  </si>
  <si>
    <t xml:space="preserve">T. alba cutinase</t>
  </si>
  <si>
    <t xml:space="preserve">LCC</t>
  </si>
  <si>
    <t xml:space="preserve">Moraxella lipase (outgroup)</t>
  </si>
  <si>
    <t xml:space="preserve">Conserved (Ser / Asp / His count out of 6):</t>
  </si>
  <si>
    <t xml:space="preserve">E. Phylogenetic Tree Notes</t>
  </si>
  <si>
    <t xml:space="preserve">Guide Tree topology</t>
  </si>
  <si>
    <t xml:space="preserve">(T.fusca,T.cellulosilytica) closest pair -&gt; T.alba -&gt; P0DX29 -&gt; LCC -&gt; IsPETase -&gt; Moraxella (outermost)</t>
  </si>
  <si>
    <t xml:space="preserve">Phylogenetic Tree topology</t>
  </si>
  <si>
    <t xml:space="preserve">Differs at root: IsPETase groups with Moraxella lipase; negative branch length on E9LVH8.1 (-0.014)</t>
  </si>
  <si>
    <t xml:space="preserve">Robust findings</t>
  </si>
  <si>
    <t xml:space="preserve">Thermobifida pair near-identical; Moraxella consistently most divergent</t>
  </si>
  <si>
    <t xml:space="preserve">Not robust</t>
  </si>
  <si>
    <t xml:space="preserve">Exact root-level branching order -- small dataset, no bootstrap support (stated as a limitation)</t>
  </si>
  <si>
    <t xml:space="preserve">MODULE 3 -- Structure-Function Analysis</t>
  </si>
  <si>
    <t xml:space="preserve">A. Structure Information</t>
  </si>
  <si>
    <t xml:space="preserve">PDB ID</t>
  </si>
  <si>
    <t xml:space="preserve">5XJH</t>
  </si>
  <si>
    <t xml:space="preserve">Title</t>
  </si>
  <si>
    <t xml:space="preserve">Crystal structure of PETase from Ideonella sakaiensis</t>
  </si>
  <si>
    <t xml:space="preserve">Resolution</t>
  </si>
  <si>
    <t xml:space="preserve">~1.5 A</t>
  </si>
  <si>
    <t xml:space="preserve">Chain analyzed</t>
  </si>
  <si>
    <t xml:space="preserve">A</t>
  </si>
  <si>
    <t xml:space="preserve">B. Fold Confirmation</t>
  </si>
  <si>
    <t xml:space="preserve">Observation</t>
  </si>
  <si>
    <t xml:space="preserve">Alternating beta-strand / alpha-helix secondary structure pattern</t>
  </si>
  <si>
    <t xml:space="preserve">Interpretation</t>
  </si>
  <si>
    <t xml:space="preserve">Consistent with alpha/beta-hydrolase fold (matches InterPro IPR029058)</t>
  </si>
  <si>
    <t xml:space="preserve">C. Disulfide Bridges</t>
  </si>
  <si>
    <t xml:space="preserve">Bridge</t>
  </si>
  <si>
    <t xml:space="preserve">Approx. Residue Range</t>
  </si>
  <si>
    <t xml:space="preserve">Notes</t>
  </si>
  <si>
    <t xml:space="preserve">1</t>
  </si>
  <si>
    <t xml:space="preserve">~195-230</t>
  </si>
  <si>
    <t xml:space="preserve">Confirmed as the active-site-proximal Cys203-Cys239 disulfide, unique to IsPETase among characterized PET hydrolases (Joo et al. 2018; Chek et al. 2026)</t>
  </si>
  <si>
    <t xml:space="preserve">2</t>
  </si>
  <si>
    <t xml:space="preserve">~255-280</t>
  </si>
  <si>
    <t xml:space="preserve">Not yet cross-checked against literature</t>
  </si>
  <si>
    <t xml:space="preserve">D. Catalytic Triad -- Structural Confirmation</t>
  </si>
  <si>
    <t xml:space="preserve">Viewer Label Position</t>
  </si>
  <si>
    <t xml:space="preserve">Confirmed in 5XJH?</t>
  </si>
  <si>
    <t xml:space="preserve">Ser</t>
  </si>
  <si>
    <t xml:space="preserve">Asp</t>
  </si>
  <si>
    <t xml:space="preserve">His</t>
  </si>
  <si>
    <t xml:space="preserve">E. Measured Catalytic Distances (PyMOL, 5XJH)</t>
  </si>
  <si>
    <t xml:space="preserve">Pair</t>
  </si>
  <si>
    <t xml:space="preserve">Distance (A)</t>
  </si>
  <si>
    <t xml:space="preserve">In H-bond range (2.5-3.5 A)?</t>
  </si>
  <si>
    <t xml:space="preserve">Ser160(OG) -- His237(NE2)</t>
  </si>
  <si>
    <t xml:space="preserve">His237(ND1) -- Asp206(OD1)</t>
  </si>
  <si>
    <t xml:space="preserve">His237(ND1) -- Asp206(OD2)</t>
  </si>
  <si>
    <t xml:space="preserve">F. Other Structural Observations</t>
  </si>
  <si>
    <t xml:space="preserve">Flexibility signal</t>
  </si>
  <si>
    <t xml:space="preserve">Disorder increase near residues ~185-195 = the Trp185 'wobbling' loop (beta6-beta7)</t>
  </si>
  <si>
    <t xml:space="preserve">Confirmed: Fecker et al. 2018; Chen et al. 2021; Crnjar et al. 2023; Burgin et al. 2024</t>
  </si>
  <si>
    <t xml:space="preserve">Termini</t>
  </si>
  <si>
    <t xml:space="preserve">N/C-termini unmodeled in crystal</t>
  </si>
  <si>
    <t xml:space="preserve">Flagged as possible expression-construct artifact, not confirmed as native signal peptide</t>
  </si>
  <si>
    <t xml:space="preserve">UniProt Active Site annotation</t>
  </si>
  <si>
    <t xml:space="preserve">Independent curated annotation observed near triad region</t>
  </si>
  <si>
    <t xml:space="preserve">Exact residue-level confirmation pending</t>
  </si>
  <si>
    <t xml:space="preserve">References &amp; Sources</t>
  </si>
  <si>
    <t xml:space="preserve">#</t>
  </si>
  <si>
    <t xml:space="preserve">Citation</t>
  </si>
  <si>
    <t xml:space="preserve">Used For</t>
  </si>
  <si>
    <t xml:space="preserve">Yoshida S., Hiraga K., Takehana T. et al. (2016). Science 351(6278), 1196-1199. "A bacterium that degrades and assimilates poly(ethylene terephthalate)."</t>
  </si>
  <si>
    <t xml:space="preserve">Discovery background</t>
  </si>
  <si>
    <t xml:space="preserve">Han X., Liu W., Huang J.W. et al. (2017). Nature Communications 8, 2106. DOI: 10.1038/s41467-017-02255-z</t>
  </si>
  <si>
    <t xml:space="preserve">First IsPETase crystal structure</t>
  </si>
  <si>
    <t xml:space="preserve">Austin H.P., Allen M.D., Donohoe B. et al. (2018). PNAS 115(19), E4350-E4357. DOI: 10.1073/pnas.1718804115</t>
  </si>
  <si>
    <t xml:space="preserve">0.92A ultra-high-res structure</t>
  </si>
  <si>
    <t xml:space="preserve">Joo S., Cho I.J., Seo H. et al. (2018). Nature Communications 9, 382. DOI: 10.1038/s41467-018-02881-1</t>
  </si>
  <si>
    <t xml:space="preserve">Catalytic triad Ser160/Asp206/His237</t>
  </si>
  <si>
    <t xml:space="preserve">Fecker T., Galaz-Davison P., Engelberger F. et al. (2018). Biophysical Journal 114(6), 1302-1312. DOI: 10.1016/j.bpj.2018.02.005</t>
  </si>
  <si>
    <t xml:space="preserve">Active-site (Trp185) flexibility</t>
  </si>
  <si>
    <t xml:space="preserve">Chen C.C., Han X., Li X. et al. (2021). Nature Catalysis 4, 425-430. DOI: 10.1038/s41929-021-00616-y</t>
  </si>
  <si>
    <t xml:space="preserve">W185 wobbling loop, S214/I218</t>
  </si>
  <si>
    <t xml:space="preserve">Crnjar A., Grinen A., Kamerlin S.C.L. &amp; Ramirez-Sarmiento C. (2023). ACS Org. Inorg. Au. DOI: 10.1021/acsorginorgau.2c00054</t>
  </si>
  <si>
    <t xml:space="preserve">Trp185 conformational selection</t>
  </si>
  <si>
    <t xml:space="preserve">Burgin T., Pollard B.C., Knott B. et al. (2024). Communications Chemistry 7, 65. DOI: 10.1038/s42004-024-01154-x</t>
  </si>
  <si>
    <t xml:space="preserve">Reaction mechanism, Trp185</t>
  </si>
  <si>
    <t xml:space="preserve">Chek M.F., Kawano E., Sanuki R. et al. (2026). Int. J. Biological Macromolecules 338, 149745. DOI: 10.1016/j.ijbiomac.2025.149745</t>
  </si>
  <si>
    <t xml:space="preserve">Cys203-Cys239 disulfide, unique to IsPETase</t>
  </si>
  <si>
    <t xml:space="preserve">Liu et al. (2023). Reclassification of Ideonella sakaiensis as Piscinibacter sakaiensis.</t>
  </si>
  <si>
    <t xml:space="preserve">Organism naming (2023)</t>
  </si>
  <si>
    <t xml:space="preserve">Lu H. &amp; Chen L. (2026). Int. J. Syst. Evol. Microbiol. "Emended description of the genus Rhizobacter and reclassification of Ideonella sakaiensis as Pseudideonella sakaiensis."</t>
  </si>
  <si>
    <t xml:space="preserve">Organism naming (2026)</t>
  </si>
  <si>
    <t xml:space="preserve">UniProt entry A0A0K8P6T7 (PETH_PISS1)</t>
  </si>
  <si>
    <t xml:space="preserve">Sequence, identity, EC number, active-site annotation</t>
  </si>
  <si>
    <t xml:space="preserve">InterPro entries IPR029058, IPR041127, IPR050261</t>
  </si>
  <si>
    <t xml:space="preserve">Domain / family classification</t>
  </si>
  <si>
    <t xml:space="preserve">RCSB PDB 5XJH</t>
  </si>
  <si>
    <t xml:space="preserve">Structure</t>
  </si>
  <si>
    <t xml:space="preserve">Note: references 2-9 come from the project's literature-review dataset (or were independently verified) and include DOIs. Refs 1 and 10 were recalled rather than re-fetched -- spot-check before final submission.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</si>
</sst>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0.00%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806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A8"/>
        <bgColor rgb="FF3366FF"/>
      </patternFill>
    </fill>
    <fill>
      <patternFill patternType="solid">
        <fgColor rgb="FF1F4E5F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72A8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6" min="5" style="0" width="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</row>
    <row r="8" customFormat="false" ht="35.05" hidden="false" customHeight="false" outlineLevel="0" collapsed="false">
      <c r="A8" s="6" t="s">
        <v>8</v>
      </c>
      <c r="B8" s="6" t="s">
        <v>9</v>
      </c>
      <c r="C8" s="6" t="s">
        <v>10</v>
      </c>
      <c r="D8" s="6" t="s">
        <v>11</v>
      </c>
    </row>
    <row r="9" customFormat="false" ht="23.85" hidden="false" customHeight="false" outlineLevel="0" collapsed="false">
      <c r="A9" s="6" t="s">
        <v>12</v>
      </c>
      <c r="B9" s="6" t="s">
        <v>13</v>
      </c>
      <c r="C9" s="6" t="s">
        <v>10</v>
      </c>
      <c r="D9" s="6" t="s">
        <v>14</v>
      </c>
    </row>
    <row r="10" customFormat="false" ht="35.05" hidden="false" customHeight="false" outlineLevel="0" collapsed="false">
      <c r="A10" s="6" t="s">
        <v>15</v>
      </c>
      <c r="B10" s="6" t="s">
        <v>16</v>
      </c>
      <c r="C10" s="6" t="s">
        <v>10</v>
      </c>
      <c r="D10" s="6" t="s">
        <v>17</v>
      </c>
    </row>
    <row r="12" customFormat="false" ht="15" hidden="false" customHeight="false" outlineLevel="0" collapsed="false">
      <c r="A12" s="3" t="s">
        <v>18</v>
      </c>
    </row>
    <row r="13" customFormat="false" ht="15" hidden="false" customHeight="false" outlineLevel="0" collapsed="false">
      <c r="A13" s="7" t="s">
        <v>19</v>
      </c>
      <c r="B13" s="7"/>
      <c r="C13" s="7"/>
      <c r="D13" s="7"/>
      <c r="E13" s="7"/>
      <c r="F13" s="7"/>
    </row>
  </sheetData>
  <mergeCells count="4">
    <mergeCell ref="A1:F1"/>
    <mergeCell ref="A2:F2"/>
    <mergeCell ref="A5:F5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6" min="5" style="0" width="8"/>
  </cols>
  <sheetData>
    <row r="1" customFormat="false" ht="19.7" hidden="false" customHeight="false" outlineLevel="0" collapsed="false">
      <c r="A1" s="1" t="s">
        <v>20</v>
      </c>
      <c r="B1" s="1"/>
      <c r="C1" s="1"/>
      <c r="D1" s="1"/>
      <c r="E1" s="1"/>
      <c r="F1" s="1"/>
    </row>
    <row r="3" customFormat="false" ht="19.5" hidden="false" customHeight="true" outlineLevel="0" collapsed="false">
      <c r="A3" s="8" t="s">
        <v>21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3" t="s">
        <v>22</v>
      </c>
      <c r="B4" s="9" t="s">
        <v>23</v>
      </c>
    </row>
    <row r="5" customFormat="false" ht="15" hidden="false" customHeight="false" outlineLevel="0" collapsed="false">
      <c r="A5" s="3" t="s">
        <v>24</v>
      </c>
      <c r="B5" s="9" t="s">
        <v>25</v>
      </c>
    </row>
    <row r="6" customFormat="false" ht="15" hidden="false" customHeight="false" outlineLevel="0" collapsed="false">
      <c r="A6" s="3" t="s">
        <v>26</v>
      </c>
      <c r="B6" s="9" t="s">
        <v>27</v>
      </c>
    </row>
    <row r="7" customFormat="false" ht="15" hidden="false" customHeight="false" outlineLevel="0" collapsed="false">
      <c r="A7" s="3" t="s">
        <v>28</v>
      </c>
      <c r="B7" s="9" t="s">
        <v>29</v>
      </c>
    </row>
    <row r="8" customFormat="false" ht="15" hidden="false" customHeight="false" outlineLevel="0" collapsed="false">
      <c r="A8" s="3" t="s">
        <v>30</v>
      </c>
      <c r="B8" s="9" t="s">
        <v>31</v>
      </c>
    </row>
    <row r="9" customFormat="false" ht="15" hidden="false" customHeight="false" outlineLevel="0" collapsed="false">
      <c r="A9" s="3" t="s">
        <v>32</v>
      </c>
      <c r="B9" s="9" t="s">
        <v>33</v>
      </c>
    </row>
    <row r="10" customFormat="false" ht="15" hidden="false" customHeight="false" outlineLevel="0" collapsed="false">
      <c r="A10" s="3" t="s">
        <v>34</v>
      </c>
      <c r="B10" s="9" t="s">
        <v>35</v>
      </c>
      <c r="D10" s="10" t="s">
        <v>36</v>
      </c>
      <c r="E10" s="10"/>
      <c r="F10" s="10"/>
    </row>
    <row r="11" customFormat="false" ht="15" hidden="false" customHeight="false" outlineLevel="0" collapsed="false">
      <c r="A11" s="3" t="s">
        <v>37</v>
      </c>
      <c r="B11" s="9" t="s">
        <v>38</v>
      </c>
      <c r="D11" s="10" t="s">
        <v>39</v>
      </c>
      <c r="E11" s="10"/>
      <c r="F11" s="10"/>
    </row>
    <row r="12" customFormat="false" ht="15" hidden="false" customHeight="false" outlineLevel="0" collapsed="false">
      <c r="A12" s="3" t="s">
        <v>40</v>
      </c>
      <c r="B12" s="9" t="n">
        <v>57</v>
      </c>
    </row>
    <row r="13" customFormat="false" ht="15" hidden="false" customHeight="false" outlineLevel="0" collapsed="false">
      <c r="A13" s="3" t="s">
        <v>41</v>
      </c>
      <c r="B13" s="9" t="s">
        <v>42</v>
      </c>
    </row>
    <row r="15" customFormat="false" ht="19.5" hidden="false" customHeight="true" outlineLevel="0" collapsed="false">
      <c r="A15" s="8" t="s">
        <v>43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3" t="s">
        <v>44</v>
      </c>
      <c r="B16" s="9" t="n">
        <v>290</v>
      </c>
    </row>
    <row r="17" customFormat="false" ht="15" hidden="false" customHeight="false" outlineLevel="0" collapsed="false">
      <c r="A17" s="3" t="s">
        <v>45</v>
      </c>
      <c r="B17" s="9" t="n">
        <v>30246.87</v>
      </c>
      <c r="D17" s="10" t="s">
        <v>46</v>
      </c>
      <c r="E17" s="10"/>
      <c r="F17" s="10"/>
    </row>
    <row r="18" customFormat="false" ht="15" hidden="false" customHeight="false" outlineLevel="0" collapsed="false">
      <c r="A18" s="3" t="s">
        <v>47</v>
      </c>
      <c r="B18" s="9" t="n">
        <v>9.65</v>
      </c>
      <c r="D18" s="10" t="s">
        <v>48</v>
      </c>
      <c r="E18" s="10"/>
      <c r="F18" s="10"/>
    </row>
    <row r="19" customFormat="false" ht="15" hidden="false" customHeight="false" outlineLevel="0" collapsed="false">
      <c r="A19" s="3" t="s">
        <v>49</v>
      </c>
      <c r="B19" s="9" t="n">
        <v>65.07</v>
      </c>
      <c r="D19" s="10" t="s">
        <v>48</v>
      </c>
      <c r="E19" s="10"/>
      <c r="F19" s="10"/>
    </row>
    <row r="20" customFormat="false" ht="15" hidden="false" customHeight="false" outlineLevel="0" collapsed="false">
      <c r="A20" s="3" t="s">
        <v>50</v>
      </c>
      <c r="B20" s="9" t="n">
        <v>39.51</v>
      </c>
      <c r="D20" s="10" t="s">
        <v>51</v>
      </c>
      <c r="E20" s="10"/>
      <c r="F20" s="10"/>
    </row>
    <row r="21" customFormat="false" ht="15" hidden="false" customHeight="false" outlineLevel="0" collapsed="false">
      <c r="A21" s="3" t="s">
        <v>52</v>
      </c>
      <c r="B21" s="9" t="n">
        <v>-0.167</v>
      </c>
      <c r="D21" s="10" t="s">
        <v>53</v>
      </c>
      <c r="E21" s="10"/>
      <c r="F21" s="10"/>
    </row>
    <row r="22" customFormat="false" ht="15" hidden="false" customHeight="false" outlineLevel="0" collapsed="false">
      <c r="A22" s="3" t="s">
        <v>54</v>
      </c>
      <c r="B22" s="9" t="s">
        <v>55</v>
      </c>
      <c r="D22" s="10" t="s">
        <v>56</v>
      </c>
      <c r="E22" s="10"/>
      <c r="F22" s="10"/>
    </row>
    <row r="24" customFormat="false" ht="19.5" hidden="false" customHeight="true" outlineLevel="0" collapsed="false">
      <c r="A24" s="8" t="s">
        <v>57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5" t="s">
        <v>58</v>
      </c>
      <c r="B25" s="5" t="s">
        <v>59</v>
      </c>
      <c r="C25" s="5" t="s">
        <v>60</v>
      </c>
    </row>
    <row r="26" customFormat="false" ht="15" hidden="false" customHeight="false" outlineLevel="0" collapsed="false">
      <c r="A26" s="11" t="s">
        <v>61</v>
      </c>
      <c r="B26" s="12" t="n">
        <v>38</v>
      </c>
      <c r="C26" s="13" t="n">
        <f aca="false">B26/$B$16</f>
        <v>0.131034482758621</v>
      </c>
    </row>
    <row r="27" customFormat="false" ht="15" hidden="false" customHeight="false" outlineLevel="0" collapsed="false">
      <c r="A27" s="11" t="s">
        <v>62</v>
      </c>
      <c r="B27" s="12" t="n">
        <v>4</v>
      </c>
      <c r="C27" s="13" t="n">
        <f aca="false">B27/$B$16</f>
        <v>0.0137931034482759</v>
      </c>
    </row>
    <row r="28" customFormat="false" ht="15" hidden="false" customHeight="false" outlineLevel="0" collapsed="false">
      <c r="A28" s="11" t="s">
        <v>63</v>
      </c>
      <c r="B28" s="12" t="n">
        <v>9</v>
      </c>
      <c r="C28" s="13" t="n">
        <f aca="false">B28/$B$16</f>
        <v>0.0310344827586207</v>
      </c>
    </row>
    <row r="29" customFormat="false" ht="15" hidden="false" customHeight="false" outlineLevel="0" collapsed="false">
      <c r="A29" s="11" t="s">
        <v>64</v>
      </c>
      <c r="B29" s="12" t="n">
        <v>4</v>
      </c>
      <c r="C29" s="13" t="n">
        <f aca="false">B29/$B$16</f>
        <v>0.0137931034482759</v>
      </c>
    </row>
    <row r="30" customFormat="false" ht="15" hidden="false" customHeight="false" outlineLevel="0" collapsed="false">
      <c r="A30" s="11" t="s">
        <v>65</v>
      </c>
      <c r="B30" s="12" t="n">
        <v>10</v>
      </c>
      <c r="C30" s="13" t="n">
        <f aca="false">B30/$B$16</f>
        <v>0.0344827586206897</v>
      </c>
    </row>
    <row r="31" customFormat="false" ht="15" hidden="false" customHeight="false" outlineLevel="0" collapsed="false">
      <c r="A31" s="11" t="s">
        <v>66</v>
      </c>
      <c r="B31" s="12" t="n">
        <v>26</v>
      </c>
      <c r="C31" s="13" t="n">
        <f aca="false">B31/$B$16</f>
        <v>0.0896551724137931</v>
      </c>
    </row>
    <row r="32" customFormat="false" ht="15" hidden="false" customHeight="false" outlineLevel="0" collapsed="false">
      <c r="A32" s="11" t="s">
        <v>67</v>
      </c>
      <c r="B32" s="12" t="n">
        <v>2</v>
      </c>
      <c r="C32" s="13" t="n">
        <f aca="false">B32/$B$16</f>
        <v>0.00689655172413793</v>
      </c>
    </row>
    <row r="33" customFormat="false" ht="15" hidden="false" customHeight="false" outlineLevel="0" collapsed="false">
      <c r="A33" s="11" t="s">
        <v>68</v>
      </c>
      <c r="B33" s="12" t="n">
        <v>12</v>
      </c>
      <c r="C33" s="13" t="n">
        <f aca="false">B33/$B$16</f>
        <v>0.0413793103448276</v>
      </c>
    </row>
    <row r="34" customFormat="false" ht="15" hidden="false" customHeight="false" outlineLevel="0" collapsed="false">
      <c r="A34" s="11" t="s">
        <v>69</v>
      </c>
      <c r="B34" s="12" t="n">
        <v>7</v>
      </c>
      <c r="C34" s="13" t="n">
        <f aca="false">B34/$B$16</f>
        <v>0.0241379310344828</v>
      </c>
    </row>
    <row r="35" customFormat="false" ht="15" hidden="false" customHeight="false" outlineLevel="0" collapsed="false">
      <c r="A35" s="11" t="s">
        <v>70</v>
      </c>
      <c r="B35" s="12" t="n">
        <v>14</v>
      </c>
      <c r="C35" s="13" t="n">
        <f aca="false">B35/$B$16</f>
        <v>0.0482758620689655</v>
      </c>
    </row>
    <row r="36" customFormat="false" ht="15" hidden="false" customHeight="false" outlineLevel="0" collapsed="false">
      <c r="A36" s="11" t="s">
        <v>71</v>
      </c>
      <c r="B36" s="12" t="n">
        <v>10</v>
      </c>
      <c r="C36" s="13" t="n">
        <f aca="false">B36/$B$16</f>
        <v>0.0344827586206897</v>
      </c>
    </row>
    <row r="37" customFormat="false" ht="15" hidden="false" customHeight="false" outlineLevel="0" collapsed="false">
      <c r="A37" s="11" t="s">
        <v>72</v>
      </c>
      <c r="B37" s="12" t="n">
        <v>20</v>
      </c>
      <c r="C37" s="13" t="n">
        <f aca="false">B37/$B$16</f>
        <v>0.0689655172413793</v>
      </c>
    </row>
    <row r="38" customFormat="false" ht="15" hidden="false" customHeight="false" outlineLevel="0" collapsed="false">
      <c r="A38" s="11" t="s">
        <v>73</v>
      </c>
      <c r="B38" s="12" t="n">
        <v>18</v>
      </c>
      <c r="C38" s="13" t="n">
        <f aca="false">B38/$B$16</f>
        <v>0.0620689655172414</v>
      </c>
    </row>
    <row r="39" customFormat="false" ht="15" hidden="false" customHeight="false" outlineLevel="0" collapsed="false">
      <c r="A39" s="11" t="s">
        <v>74</v>
      </c>
      <c r="B39" s="12" t="n">
        <v>10</v>
      </c>
      <c r="C39" s="13" t="n">
        <f aca="false">B39/$B$16</f>
        <v>0.0344827586206897</v>
      </c>
    </row>
    <row r="40" customFormat="false" ht="15" hidden="false" customHeight="false" outlineLevel="0" collapsed="false">
      <c r="A40" s="11" t="s">
        <v>75</v>
      </c>
      <c r="B40" s="12" t="n">
        <v>15</v>
      </c>
      <c r="C40" s="13" t="n">
        <f aca="false">B40/$B$16</f>
        <v>0.0517241379310345</v>
      </c>
    </row>
    <row r="41" customFormat="false" ht="15" hidden="false" customHeight="false" outlineLevel="0" collapsed="false">
      <c r="A41" s="11" t="s">
        <v>76</v>
      </c>
      <c r="B41" s="12" t="n">
        <v>40</v>
      </c>
      <c r="C41" s="13" t="n">
        <f aca="false">B41/$B$16</f>
        <v>0.137931034482759</v>
      </c>
    </row>
    <row r="42" customFormat="false" ht="15" hidden="false" customHeight="false" outlineLevel="0" collapsed="false">
      <c r="A42" s="11" t="s">
        <v>77</v>
      </c>
      <c r="B42" s="12" t="n">
        <v>21</v>
      </c>
      <c r="C42" s="13" t="n">
        <f aca="false">B42/$B$16</f>
        <v>0.0724137931034483</v>
      </c>
    </row>
    <row r="43" customFormat="false" ht="15" hidden="false" customHeight="false" outlineLevel="0" collapsed="false">
      <c r="A43" s="11" t="s">
        <v>78</v>
      </c>
      <c r="B43" s="12" t="n">
        <v>17</v>
      </c>
      <c r="C43" s="13" t="n">
        <f aca="false">B43/$B$16</f>
        <v>0.0586206896551724</v>
      </c>
    </row>
    <row r="44" customFormat="false" ht="15" hidden="false" customHeight="false" outlineLevel="0" collapsed="false">
      <c r="A44" s="11" t="s">
        <v>79</v>
      </c>
      <c r="B44" s="12" t="n">
        <v>5</v>
      </c>
      <c r="C44" s="13" t="n">
        <f aca="false">B44/$B$16</f>
        <v>0.0172413793103448</v>
      </c>
    </row>
    <row r="45" customFormat="false" ht="15" hidden="false" customHeight="false" outlineLevel="0" collapsed="false">
      <c r="A45" s="11" t="s">
        <v>80</v>
      </c>
      <c r="B45" s="12" t="n">
        <v>8</v>
      </c>
      <c r="C45" s="13" t="n">
        <f aca="false">B45/$B$16</f>
        <v>0.0275862068965517</v>
      </c>
    </row>
    <row r="46" customFormat="false" ht="15" hidden="false" customHeight="false" outlineLevel="0" collapsed="false">
      <c r="A46" s="14" t="s">
        <v>81</v>
      </c>
      <c r="B46" s="15" t="n">
        <f aca="false">SUM(B26:B45)</f>
        <v>290</v>
      </c>
      <c r="C46" s="16" t="n">
        <f aca="false">SUM(C26:C45)</f>
        <v>1</v>
      </c>
    </row>
    <row r="48" customFormat="false" ht="19.5" hidden="false" customHeight="true" outlineLevel="0" collapsed="false">
      <c r="A48" s="8" t="s">
        <v>82</v>
      </c>
      <c r="B48" s="8"/>
      <c r="C48" s="8"/>
      <c r="D48" s="8"/>
      <c r="E48" s="8"/>
      <c r="F48" s="8"/>
    </row>
    <row r="49" customFormat="false" ht="15" hidden="false" customHeight="false" outlineLevel="0" collapsed="false">
      <c r="A49" s="5" t="s">
        <v>83</v>
      </c>
      <c r="B49" s="5" t="s">
        <v>84</v>
      </c>
      <c r="C49" s="5" t="s">
        <v>85</v>
      </c>
    </row>
    <row r="50" customFormat="false" ht="15" hidden="false" customHeight="false" outlineLevel="0" collapsed="false">
      <c r="A50" s="6" t="s">
        <v>86</v>
      </c>
      <c r="B50" s="6" t="s">
        <v>87</v>
      </c>
      <c r="C50" s="6" t="s">
        <v>88</v>
      </c>
    </row>
    <row r="51" customFormat="false" ht="15" hidden="false" customHeight="false" outlineLevel="0" collapsed="false">
      <c r="A51" s="6" t="s">
        <v>89</v>
      </c>
      <c r="B51" s="6" t="s">
        <v>90</v>
      </c>
      <c r="C51" s="6" t="s">
        <v>91</v>
      </c>
    </row>
    <row r="52" customFormat="false" ht="15" hidden="false" customHeight="false" outlineLevel="0" collapsed="false">
      <c r="A52" s="6" t="s">
        <v>92</v>
      </c>
      <c r="B52" s="6" t="s">
        <v>93</v>
      </c>
      <c r="C52" s="6" t="s">
        <v>94</v>
      </c>
    </row>
    <row r="54" customFormat="false" ht="19.5" hidden="false" customHeight="true" outlineLevel="0" collapsed="false">
      <c r="A54" s="8" t="s">
        <v>95</v>
      </c>
      <c r="B54" s="8"/>
      <c r="C54" s="8"/>
      <c r="D54" s="8"/>
      <c r="E54" s="8"/>
      <c r="F54" s="8"/>
    </row>
    <row r="55" customFormat="false" ht="15" hidden="false" customHeight="false" outlineLevel="0" collapsed="false">
      <c r="A55" s="5" t="s">
        <v>58</v>
      </c>
      <c r="B55" s="5" t="s">
        <v>96</v>
      </c>
      <c r="C55" s="5" t="s">
        <v>97</v>
      </c>
      <c r="D55" s="5" t="s">
        <v>98</v>
      </c>
    </row>
    <row r="56" customFormat="false" ht="23.85" hidden="false" customHeight="false" outlineLevel="0" collapsed="false">
      <c r="A56" s="6" t="s">
        <v>99</v>
      </c>
      <c r="B56" s="6" t="n">
        <v>160</v>
      </c>
      <c r="C56" s="6" t="s">
        <v>100</v>
      </c>
      <c r="D56" s="6" t="s">
        <v>101</v>
      </c>
    </row>
    <row r="57" customFormat="false" ht="15" hidden="false" customHeight="false" outlineLevel="0" collapsed="false">
      <c r="A57" s="6" t="s">
        <v>102</v>
      </c>
      <c r="B57" s="6" t="n">
        <v>206</v>
      </c>
      <c r="C57" s="6" t="s">
        <v>103</v>
      </c>
      <c r="D57" s="6" t="s">
        <v>104</v>
      </c>
    </row>
    <row r="58" customFormat="false" ht="15" hidden="false" customHeight="false" outlineLevel="0" collapsed="false">
      <c r="A58" s="6" t="s">
        <v>105</v>
      </c>
      <c r="B58" s="6" t="n">
        <v>237</v>
      </c>
      <c r="C58" s="6" t="s">
        <v>106</v>
      </c>
      <c r="D58" s="6" t="s">
        <v>104</v>
      </c>
    </row>
    <row r="59" customFormat="false" ht="46.25" hidden="false" customHeight="false" outlineLevel="0" collapsed="false">
      <c r="A59" s="6" t="s">
        <v>107</v>
      </c>
      <c r="B59" s="6" t="n">
        <v>203</v>
      </c>
      <c r="C59" s="6" t="s">
        <v>108</v>
      </c>
      <c r="D59" s="6" t="s">
        <v>109</v>
      </c>
    </row>
    <row r="60" customFormat="false" ht="35.05" hidden="false" customHeight="false" outlineLevel="0" collapsed="false">
      <c r="A60" s="6" t="s">
        <v>110</v>
      </c>
      <c r="B60" s="6" t="n">
        <v>185</v>
      </c>
      <c r="C60" s="6" t="s">
        <v>111</v>
      </c>
      <c r="D60" s="6" t="s">
        <v>112</v>
      </c>
    </row>
    <row r="62" customFormat="false" ht="19.5" hidden="false" customHeight="true" outlineLevel="0" collapsed="false">
      <c r="A62" s="8" t="s">
        <v>113</v>
      </c>
      <c r="B62" s="8"/>
      <c r="C62" s="8"/>
      <c r="D62" s="8"/>
      <c r="E62" s="8"/>
      <c r="F62" s="8"/>
    </row>
    <row r="63" customFormat="false" ht="15" hidden="false" customHeight="false" outlineLevel="0" collapsed="false">
      <c r="A63" s="3" t="s">
        <v>114</v>
      </c>
      <c r="B63" s="9" t="s">
        <v>115</v>
      </c>
    </row>
    <row r="64" customFormat="false" ht="15" hidden="false" customHeight="false" outlineLevel="0" collapsed="false">
      <c r="A64" s="3" t="s">
        <v>98</v>
      </c>
      <c r="B64" s="9" t="s">
        <v>116</v>
      </c>
    </row>
    <row r="65" customFormat="false" ht="15" hidden="false" customHeight="false" outlineLevel="0" collapsed="false">
      <c r="A65" s="3" t="s">
        <v>6</v>
      </c>
      <c r="B65" s="9" t="s">
        <v>117</v>
      </c>
      <c r="D65" s="10" t="s">
        <v>118</v>
      </c>
      <c r="E65" s="10"/>
      <c r="F65" s="10"/>
    </row>
  </sheetData>
  <mergeCells count="16">
    <mergeCell ref="A1:F1"/>
    <mergeCell ref="A3:F3"/>
    <mergeCell ref="D10:F10"/>
    <mergeCell ref="D11:F11"/>
    <mergeCell ref="A15:F15"/>
    <mergeCell ref="D17:F17"/>
    <mergeCell ref="D18:F18"/>
    <mergeCell ref="D19:F19"/>
    <mergeCell ref="D20:F20"/>
    <mergeCell ref="D21:F21"/>
    <mergeCell ref="D22:F22"/>
    <mergeCell ref="A24:F24"/>
    <mergeCell ref="A48:F48"/>
    <mergeCell ref="A54:F54"/>
    <mergeCell ref="A62:F62"/>
    <mergeCell ref="D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119</v>
      </c>
      <c r="B1" s="1"/>
      <c r="C1" s="1"/>
      <c r="D1" s="1"/>
      <c r="E1" s="1"/>
      <c r="F1" s="1"/>
      <c r="G1" s="1"/>
    </row>
    <row r="3" customFormat="false" ht="19.5" hidden="false" customHeight="true" outlineLevel="0" collapsed="false">
      <c r="A3" s="8" t="s">
        <v>120</v>
      </c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3" t="s">
        <v>121</v>
      </c>
      <c r="B4" s="9" t="s">
        <v>122</v>
      </c>
    </row>
    <row r="5" customFormat="false" ht="15" hidden="false" customHeight="false" outlineLevel="0" collapsed="false">
      <c r="A5" s="3" t="s">
        <v>123</v>
      </c>
      <c r="B5" s="9" t="s">
        <v>124</v>
      </c>
    </row>
    <row r="6" customFormat="false" ht="15" hidden="false" customHeight="false" outlineLevel="0" collapsed="false">
      <c r="A6" s="3" t="s">
        <v>125</v>
      </c>
      <c r="B6" s="9" t="s">
        <v>126</v>
      </c>
    </row>
    <row r="8" customFormat="false" ht="19.5" hidden="false" customHeight="true" outlineLevel="0" collapsed="false">
      <c r="A8" s="8" t="s">
        <v>127</v>
      </c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5" t="s">
        <v>128</v>
      </c>
      <c r="B9" s="5" t="s">
        <v>129</v>
      </c>
      <c r="C9" s="5" t="s">
        <v>130</v>
      </c>
      <c r="D9" s="5" t="s">
        <v>131</v>
      </c>
      <c r="E9" s="5" t="s">
        <v>132</v>
      </c>
      <c r="F9" s="5" t="s">
        <v>133</v>
      </c>
      <c r="G9" s="5" t="s">
        <v>134</v>
      </c>
    </row>
    <row r="10" customFormat="false" ht="15" hidden="false" customHeight="false" outlineLevel="0" collapsed="false">
      <c r="A10" s="6" t="s">
        <v>135</v>
      </c>
      <c r="B10" s="6" t="s">
        <v>136</v>
      </c>
      <c r="C10" s="6" t="s">
        <v>137</v>
      </c>
      <c r="D10" s="17" t="n">
        <v>0.5111</v>
      </c>
      <c r="E10" s="6" t="s">
        <v>138</v>
      </c>
      <c r="F10" s="18" t="n">
        <v>0.91</v>
      </c>
      <c r="G10" s="6" t="s">
        <v>139</v>
      </c>
    </row>
    <row r="11" customFormat="false" ht="15" hidden="false" customHeight="false" outlineLevel="0" collapsed="false">
      <c r="A11" s="6" t="s">
        <v>140</v>
      </c>
      <c r="B11" s="6" t="s">
        <v>141</v>
      </c>
      <c r="C11" s="6" t="s">
        <v>142</v>
      </c>
      <c r="D11" s="17" t="n">
        <v>0.5171</v>
      </c>
      <c r="E11" s="6" t="s">
        <v>143</v>
      </c>
      <c r="F11" s="18" t="n">
        <v>0.89</v>
      </c>
      <c r="G11" s="6" t="s">
        <v>139</v>
      </c>
    </row>
    <row r="12" customFormat="false" ht="23.85" hidden="false" customHeight="false" outlineLevel="0" collapsed="false">
      <c r="A12" s="6" t="s">
        <v>144</v>
      </c>
      <c r="B12" s="6" t="s">
        <v>145</v>
      </c>
      <c r="C12" s="6" t="s">
        <v>142</v>
      </c>
      <c r="D12" s="17" t="n">
        <v>0.5019</v>
      </c>
      <c r="E12" s="6" t="s">
        <v>146</v>
      </c>
      <c r="F12" s="18" t="n">
        <v>0.89</v>
      </c>
      <c r="G12" s="6" t="s">
        <v>147</v>
      </c>
    </row>
    <row r="13" customFormat="false" ht="23.85" hidden="false" customHeight="false" outlineLevel="0" collapsed="false">
      <c r="A13" s="6" t="s">
        <v>148</v>
      </c>
      <c r="B13" s="6" t="s">
        <v>149</v>
      </c>
      <c r="C13" s="6" t="s">
        <v>137</v>
      </c>
      <c r="D13" s="17" t="n">
        <v>0.4963</v>
      </c>
      <c r="E13" s="6" t="s">
        <v>150</v>
      </c>
      <c r="F13" s="18" t="n">
        <v>0.91</v>
      </c>
      <c r="G13" s="6" t="s">
        <v>151</v>
      </c>
    </row>
    <row r="14" customFormat="false" ht="23.85" hidden="false" customHeight="false" outlineLevel="0" collapsed="false">
      <c r="A14" s="6" t="s">
        <v>152</v>
      </c>
      <c r="B14" s="6" t="s">
        <v>153</v>
      </c>
      <c r="C14" s="6" t="s">
        <v>154</v>
      </c>
      <c r="D14" s="17" t="n">
        <v>0.4778</v>
      </c>
      <c r="E14" s="6" t="s">
        <v>155</v>
      </c>
      <c r="F14" s="18" t="n">
        <v>0.91</v>
      </c>
      <c r="G14" s="6" t="s">
        <v>156</v>
      </c>
    </row>
    <row r="15" customFormat="false" ht="15" hidden="false" customHeight="false" outlineLevel="0" collapsed="false">
      <c r="A15" s="6" t="s">
        <v>157</v>
      </c>
      <c r="B15" s="6" t="s">
        <v>158</v>
      </c>
      <c r="C15" s="6" t="s">
        <v>159</v>
      </c>
      <c r="D15" s="17" t="n">
        <v>0.5019</v>
      </c>
      <c r="E15" s="6" t="s">
        <v>160</v>
      </c>
      <c r="F15" s="18" t="n">
        <v>0.88</v>
      </c>
      <c r="G15" s="6" t="s">
        <v>139</v>
      </c>
    </row>
    <row r="16" customFormat="false" ht="23.85" hidden="false" customHeight="false" outlineLevel="0" collapsed="false">
      <c r="A16" s="6" t="s">
        <v>161</v>
      </c>
      <c r="B16" s="6" t="s">
        <v>162</v>
      </c>
      <c r="C16" s="6" t="s">
        <v>159</v>
      </c>
      <c r="D16" s="17" t="n">
        <v>0.5019</v>
      </c>
      <c r="E16" s="6" t="s">
        <v>163</v>
      </c>
      <c r="F16" s="18" t="n">
        <v>0.88</v>
      </c>
      <c r="G16" s="6" t="s">
        <v>164</v>
      </c>
    </row>
    <row r="17" customFormat="false" ht="23.85" hidden="false" customHeight="false" outlineLevel="0" collapsed="false">
      <c r="A17" s="6" t="s">
        <v>165</v>
      </c>
      <c r="B17" s="6" t="s">
        <v>166</v>
      </c>
      <c r="C17" s="6" t="s">
        <v>167</v>
      </c>
      <c r="D17" s="17" t="n">
        <v>0.4755</v>
      </c>
      <c r="E17" s="6" t="s">
        <v>168</v>
      </c>
      <c r="F17" s="18" t="n">
        <v>0.9</v>
      </c>
      <c r="G17" s="6" t="s">
        <v>156</v>
      </c>
    </row>
    <row r="18" customFormat="false" ht="15" hidden="false" customHeight="false" outlineLevel="0" collapsed="false">
      <c r="A18" s="6" t="s">
        <v>169</v>
      </c>
      <c r="B18" s="6" t="s">
        <v>170</v>
      </c>
      <c r="C18" s="6" t="s">
        <v>171</v>
      </c>
      <c r="D18" s="17" t="n">
        <v>0.4889</v>
      </c>
      <c r="E18" s="6" t="s">
        <v>172</v>
      </c>
      <c r="F18" s="18" t="n">
        <v>0.92</v>
      </c>
      <c r="G18" s="6" t="s">
        <v>139</v>
      </c>
    </row>
    <row r="19" customFormat="false" ht="15" hidden="false" customHeight="false" outlineLevel="0" collapsed="false">
      <c r="A19" s="6" t="s">
        <v>173</v>
      </c>
      <c r="B19" s="6" t="s">
        <v>174</v>
      </c>
      <c r="C19" s="6" t="s">
        <v>175</v>
      </c>
      <c r="D19" s="17" t="n">
        <v>0.4524</v>
      </c>
      <c r="E19" s="6" t="s">
        <v>176</v>
      </c>
      <c r="F19" s="18" t="n">
        <v>0.83</v>
      </c>
      <c r="G19" s="6" t="s">
        <v>177</v>
      </c>
    </row>
    <row r="21" customFormat="false" ht="19.5" hidden="false" customHeight="true" outlineLevel="0" collapsed="false">
      <c r="A21" s="8" t="s">
        <v>178</v>
      </c>
      <c r="B21" s="8"/>
      <c r="C21" s="8"/>
      <c r="D21" s="8"/>
      <c r="E21" s="8"/>
      <c r="F21" s="8"/>
      <c r="G21" s="8"/>
    </row>
    <row r="22" customFormat="false" ht="23.85" hidden="false" customHeight="false" outlineLevel="0" collapsed="false">
      <c r="A22" s="5" t="s">
        <v>128</v>
      </c>
      <c r="B22" s="5" t="s">
        <v>130</v>
      </c>
      <c r="C22" s="5" t="s">
        <v>97</v>
      </c>
      <c r="D22" s="5" t="s">
        <v>179</v>
      </c>
    </row>
    <row r="23" customFormat="false" ht="15" hidden="false" customHeight="false" outlineLevel="0" collapsed="false">
      <c r="A23" s="6" t="s">
        <v>23</v>
      </c>
      <c r="B23" s="6" t="s">
        <v>180</v>
      </c>
      <c r="C23" s="6" t="s">
        <v>181</v>
      </c>
      <c r="D23" s="17" t="n">
        <v>1</v>
      </c>
    </row>
    <row r="24" customFormat="false" ht="15" hidden="false" customHeight="false" outlineLevel="0" collapsed="false">
      <c r="A24" s="6" t="s">
        <v>135</v>
      </c>
      <c r="B24" s="6" t="s">
        <v>137</v>
      </c>
      <c r="C24" s="6" t="s">
        <v>182</v>
      </c>
      <c r="D24" s="17" t="n">
        <v>0.5111</v>
      </c>
    </row>
    <row r="25" customFormat="false" ht="15" hidden="false" customHeight="false" outlineLevel="0" collapsed="false">
      <c r="A25" s="6" t="s">
        <v>140</v>
      </c>
      <c r="B25" s="6" t="s">
        <v>142</v>
      </c>
      <c r="C25" s="6" t="s">
        <v>182</v>
      </c>
      <c r="D25" s="17" t="n">
        <v>0.5171</v>
      </c>
    </row>
    <row r="26" customFormat="false" ht="15" hidden="false" customHeight="false" outlineLevel="0" collapsed="false">
      <c r="A26" s="6" t="s">
        <v>157</v>
      </c>
      <c r="B26" s="6" t="s">
        <v>159</v>
      </c>
      <c r="C26" s="6" t="s">
        <v>182</v>
      </c>
      <c r="D26" s="17" t="n">
        <v>0.5019</v>
      </c>
    </row>
    <row r="27" customFormat="false" ht="15" hidden="false" customHeight="false" outlineLevel="0" collapsed="false">
      <c r="A27" s="6" t="s">
        <v>169</v>
      </c>
      <c r="B27" s="6" t="s">
        <v>183</v>
      </c>
      <c r="C27" s="6" t="s">
        <v>182</v>
      </c>
      <c r="D27" s="17" t="n">
        <v>0.4889</v>
      </c>
    </row>
    <row r="28" customFormat="false" ht="15" hidden="false" customHeight="false" outlineLevel="0" collapsed="false">
      <c r="A28" s="6" t="s">
        <v>173</v>
      </c>
      <c r="B28" s="6" t="s">
        <v>175</v>
      </c>
      <c r="C28" s="6" t="s">
        <v>184</v>
      </c>
      <c r="D28" s="17" t="n">
        <v>0.4524</v>
      </c>
    </row>
    <row r="29" customFormat="false" ht="15" hidden="false" customHeight="false" outlineLevel="0" collapsed="false">
      <c r="A29" s="14" t="s">
        <v>185</v>
      </c>
      <c r="D29" s="19" t="n">
        <f aca="false">AVERAGE(D24:D28)</f>
        <v>0.49428</v>
      </c>
    </row>
    <row r="31" customFormat="false" ht="19.5" hidden="false" customHeight="true" outlineLevel="0" collapsed="false">
      <c r="A31" s="8" t="s">
        <v>186</v>
      </c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5" t="s">
        <v>187</v>
      </c>
      <c r="B32" s="5" t="s">
        <v>188</v>
      </c>
      <c r="C32" s="5" t="s">
        <v>189</v>
      </c>
      <c r="D32" s="5" t="s">
        <v>190</v>
      </c>
    </row>
    <row r="33" customFormat="false" ht="15" hidden="false" customHeight="false" outlineLevel="0" collapsed="false">
      <c r="A33" s="6" t="s">
        <v>191</v>
      </c>
      <c r="B33" s="6" t="s">
        <v>192</v>
      </c>
      <c r="C33" s="6" t="s">
        <v>193</v>
      </c>
      <c r="D33" s="6" t="s">
        <v>194</v>
      </c>
    </row>
    <row r="34" customFormat="false" ht="15" hidden="false" customHeight="false" outlineLevel="0" collapsed="false">
      <c r="A34" s="6" t="s">
        <v>195</v>
      </c>
      <c r="B34" s="6" t="s">
        <v>192</v>
      </c>
      <c r="C34" s="6" t="s">
        <v>193</v>
      </c>
      <c r="D34" s="6" t="s">
        <v>194</v>
      </c>
    </row>
    <row r="35" customFormat="false" ht="23.85" hidden="false" customHeight="false" outlineLevel="0" collapsed="false">
      <c r="A35" s="6" t="s">
        <v>196</v>
      </c>
      <c r="B35" s="6" t="s">
        <v>192</v>
      </c>
      <c r="C35" s="6" t="s">
        <v>193</v>
      </c>
      <c r="D35" s="6" t="s">
        <v>194</v>
      </c>
    </row>
    <row r="36" customFormat="false" ht="15" hidden="false" customHeight="false" outlineLevel="0" collapsed="false">
      <c r="A36" s="6" t="s">
        <v>197</v>
      </c>
      <c r="B36" s="6" t="s">
        <v>192</v>
      </c>
      <c r="C36" s="6" t="s">
        <v>193</v>
      </c>
      <c r="D36" s="6" t="s">
        <v>194</v>
      </c>
    </row>
    <row r="37" customFormat="false" ht="15" hidden="false" customHeight="false" outlineLevel="0" collapsed="false">
      <c r="A37" s="6" t="s">
        <v>198</v>
      </c>
      <c r="B37" s="6" t="s">
        <v>192</v>
      </c>
      <c r="C37" s="6" t="s">
        <v>193</v>
      </c>
      <c r="D37" s="6" t="s">
        <v>194</v>
      </c>
    </row>
    <row r="38" customFormat="false" ht="23.85" hidden="false" customHeight="false" outlineLevel="0" collapsed="false">
      <c r="A38" s="6" t="s">
        <v>199</v>
      </c>
      <c r="B38" s="6" t="s">
        <v>192</v>
      </c>
      <c r="C38" s="6" t="s">
        <v>193</v>
      </c>
      <c r="D38" s="6" t="s">
        <v>194</v>
      </c>
    </row>
    <row r="40" customFormat="false" ht="15" hidden="false" customHeight="false" outlineLevel="0" collapsed="false">
      <c r="A40" s="3" t="s">
        <v>200</v>
      </c>
      <c r="B40" s="3" t="n">
        <f aca="false">COUNTIF(B33:B38,"S")</f>
        <v>6</v>
      </c>
      <c r="C40" s="3" t="n">
        <f aca="false">COUNTIF(C33:C38,"D")</f>
        <v>6</v>
      </c>
      <c r="D40" s="3" t="n">
        <f aca="false">COUNTIF(D33:D38,"H")</f>
        <v>6</v>
      </c>
    </row>
    <row r="42" customFormat="false" ht="19.5" hidden="false" customHeight="true" outlineLevel="0" collapsed="false">
      <c r="A42" s="8" t="s">
        <v>201</v>
      </c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3" t="s">
        <v>202</v>
      </c>
      <c r="B43" s="9" t="s">
        <v>203</v>
      </c>
    </row>
    <row r="44" customFormat="false" ht="15" hidden="false" customHeight="false" outlineLevel="0" collapsed="false">
      <c r="A44" s="3" t="s">
        <v>204</v>
      </c>
      <c r="B44" s="9" t="s">
        <v>205</v>
      </c>
    </row>
    <row r="45" customFormat="false" ht="15" hidden="false" customHeight="false" outlineLevel="0" collapsed="false">
      <c r="A45" s="3" t="s">
        <v>206</v>
      </c>
      <c r="B45" s="9" t="s">
        <v>207</v>
      </c>
    </row>
    <row r="46" customFormat="false" ht="15" hidden="false" customHeight="false" outlineLevel="0" collapsed="false">
      <c r="A46" s="3" t="s">
        <v>208</v>
      </c>
      <c r="B46" s="9" t="s">
        <v>209</v>
      </c>
    </row>
  </sheetData>
  <mergeCells count="6">
    <mergeCell ref="A1:G1"/>
    <mergeCell ref="A3:G3"/>
    <mergeCell ref="A8:G8"/>
    <mergeCell ref="A21:G21"/>
    <mergeCell ref="A31:G31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6" min="5" style="0" width="8"/>
  </cols>
  <sheetData>
    <row r="1" customFormat="false" ht="19.7" hidden="false" customHeight="false" outlineLevel="0" collapsed="false">
      <c r="A1" s="1" t="s">
        <v>210</v>
      </c>
      <c r="B1" s="1"/>
      <c r="C1" s="1"/>
      <c r="D1" s="1"/>
      <c r="E1" s="1"/>
      <c r="F1" s="1"/>
    </row>
    <row r="3" customFormat="false" ht="19.5" hidden="false" customHeight="true" outlineLevel="0" collapsed="false">
      <c r="A3" s="8" t="s">
        <v>211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3" t="s">
        <v>212</v>
      </c>
      <c r="B4" s="9" t="s">
        <v>213</v>
      </c>
    </row>
    <row r="5" customFormat="false" ht="15" hidden="false" customHeight="false" outlineLevel="0" collapsed="false">
      <c r="A5" s="3" t="s">
        <v>214</v>
      </c>
      <c r="B5" s="9" t="s">
        <v>215</v>
      </c>
    </row>
    <row r="6" customFormat="false" ht="15" hidden="false" customHeight="false" outlineLevel="0" collapsed="false">
      <c r="A6" s="3" t="s">
        <v>216</v>
      </c>
      <c r="B6" s="9" t="s">
        <v>217</v>
      </c>
    </row>
    <row r="7" customFormat="false" ht="15" hidden="false" customHeight="false" outlineLevel="0" collapsed="false">
      <c r="A7" s="3" t="s">
        <v>218</v>
      </c>
      <c r="B7" s="9" t="s">
        <v>219</v>
      </c>
    </row>
    <row r="9" customFormat="false" ht="19.5" hidden="false" customHeight="true" outlineLevel="0" collapsed="false">
      <c r="A9" s="8" t="s">
        <v>220</v>
      </c>
      <c r="B9" s="8"/>
      <c r="C9" s="8"/>
      <c r="D9" s="8"/>
      <c r="E9" s="8"/>
      <c r="F9" s="8"/>
    </row>
    <row r="10" customFormat="false" ht="15" hidden="false" customHeight="false" outlineLevel="0" collapsed="false">
      <c r="A10" s="3" t="s">
        <v>221</v>
      </c>
      <c r="B10" s="9" t="s">
        <v>222</v>
      </c>
    </row>
    <row r="11" customFormat="false" ht="15" hidden="false" customHeight="false" outlineLevel="0" collapsed="false">
      <c r="A11" s="3" t="s">
        <v>223</v>
      </c>
      <c r="B11" s="9" t="s">
        <v>224</v>
      </c>
    </row>
    <row r="13" customFormat="false" ht="19.5" hidden="false" customHeight="true" outlineLevel="0" collapsed="false">
      <c r="A13" s="8" t="s">
        <v>225</v>
      </c>
      <c r="B13" s="8"/>
      <c r="C13" s="8"/>
      <c r="D13" s="8"/>
      <c r="E13" s="8"/>
      <c r="F13" s="8"/>
    </row>
    <row r="14" customFormat="false" ht="23.85" hidden="false" customHeight="false" outlineLevel="0" collapsed="false">
      <c r="A14" s="5" t="s">
        <v>226</v>
      </c>
      <c r="B14" s="5" t="s">
        <v>227</v>
      </c>
      <c r="C14" s="5" t="s">
        <v>228</v>
      </c>
    </row>
    <row r="15" customFormat="false" ht="79.85" hidden="false" customHeight="false" outlineLevel="0" collapsed="false">
      <c r="A15" s="6" t="s">
        <v>229</v>
      </c>
      <c r="B15" s="6" t="s">
        <v>230</v>
      </c>
      <c r="C15" s="6" t="s">
        <v>231</v>
      </c>
    </row>
    <row r="16" customFormat="false" ht="23.85" hidden="false" customHeight="false" outlineLevel="0" collapsed="false">
      <c r="A16" s="6" t="s">
        <v>232</v>
      </c>
      <c r="B16" s="6" t="s">
        <v>233</v>
      </c>
      <c r="C16" s="6" t="s">
        <v>234</v>
      </c>
    </row>
    <row r="18" customFormat="false" ht="19.5" hidden="false" customHeight="true" outlineLevel="0" collapsed="false">
      <c r="A18" s="8" t="s">
        <v>235</v>
      </c>
      <c r="B18" s="8"/>
      <c r="C18" s="8"/>
      <c r="D18" s="8"/>
      <c r="E18" s="8"/>
      <c r="F18" s="8"/>
    </row>
    <row r="19" customFormat="false" ht="15" hidden="false" customHeight="false" outlineLevel="0" collapsed="false">
      <c r="A19" s="5" t="s">
        <v>58</v>
      </c>
      <c r="B19" s="5" t="s">
        <v>96</v>
      </c>
      <c r="C19" s="5" t="s">
        <v>236</v>
      </c>
      <c r="D19" s="5" t="s">
        <v>237</v>
      </c>
    </row>
    <row r="20" customFormat="false" ht="15" hidden="false" customHeight="false" outlineLevel="0" collapsed="false">
      <c r="A20" s="6" t="s">
        <v>238</v>
      </c>
      <c r="B20" s="6" t="n">
        <v>160</v>
      </c>
      <c r="C20" s="6" t="n">
        <v>148</v>
      </c>
      <c r="D20" s="6" t="s">
        <v>139</v>
      </c>
    </row>
    <row r="21" customFormat="false" ht="15" hidden="false" customHeight="false" outlineLevel="0" collapsed="false">
      <c r="A21" s="6" t="s">
        <v>239</v>
      </c>
      <c r="B21" s="6" t="n">
        <v>206</v>
      </c>
      <c r="C21" s="6" t="n">
        <v>194</v>
      </c>
      <c r="D21" s="6" t="s">
        <v>139</v>
      </c>
    </row>
    <row r="22" customFormat="false" ht="15" hidden="false" customHeight="false" outlineLevel="0" collapsed="false">
      <c r="A22" s="6" t="s">
        <v>240</v>
      </c>
      <c r="B22" s="6" t="n">
        <v>237</v>
      </c>
      <c r="C22" s="6" t="n">
        <v>225</v>
      </c>
      <c r="D22" s="6" t="s">
        <v>139</v>
      </c>
    </row>
    <row r="24" customFormat="false" ht="19.5" hidden="false" customHeight="true" outlineLevel="0" collapsed="false">
      <c r="A24" s="8" t="s">
        <v>241</v>
      </c>
      <c r="B24" s="8"/>
      <c r="C24" s="8"/>
      <c r="D24" s="8"/>
      <c r="E24" s="8"/>
      <c r="F24" s="8"/>
    </row>
    <row r="25" customFormat="false" ht="23.85" hidden="false" customHeight="false" outlineLevel="0" collapsed="false">
      <c r="A25" s="5" t="s">
        <v>242</v>
      </c>
      <c r="B25" s="5" t="s">
        <v>243</v>
      </c>
      <c r="C25" s="5" t="s">
        <v>244</v>
      </c>
    </row>
    <row r="26" customFormat="false" ht="15" hidden="false" customHeight="false" outlineLevel="0" collapsed="false">
      <c r="A26" s="6" t="s">
        <v>245</v>
      </c>
      <c r="B26" s="6" t="n">
        <v>2.9</v>
      </c>
      <c r="C26" s="6" t="s">
        <v>139</v>
      </c>
    </row>
    <row r="27" customFormat="false" ht="15" hidden="false" customHeight="false" outlineLevel="0" collapsed="false">
      <c r="A27" s="6" t="s">
        <v>246</v>
      </c>
      <c r="B27" s="6" t="n">
        <v>2.7</v>
      </c>
      <c r="C27" s="6" t="s">
        <v>139</v>
      </c>
    </row>
    <row r="28" customFormat="false" ht="15" hidden="false" customHeight="false" outlineLevel="0" collapsed="false">
      <c r="A28" s="6" t="s">
        <v>247</v>
      </c>
      <c r="B28" s="6" t="n">
        <v>3.1</v>
      </c>
      <c r="C28" s="6" t="s">
        <v>139</v>
      </c>
    </row>
    <row r="30" customFormat="false" ht="19.5" hidden="false" customHeight="true" outlineLevel="0" collapsed="false">
      <c r="A30" s="8" t="s">
        <v>248</v>
      </c>
      <c r="B30" s="8"/>
      <c r="C30" s="8"/>
      <c r="D30" s="8"/>
      <c r="E30" s="8"/>
      <c r="F30" s="8"/>
    </row>
    <row r="31" customFormat="false" ht="15" hidden="false" customHeight="false" outlineLevel="0" collapsed="false">
      <c r="A31" s="3" t="s">
        <v>249</v>
      </c>
      <c r="B31" s="9" t="s">
        <v>250</v>
      </c>
      <c r="D31" s="10" t="s">
        <v>251</v>
      </c>
      <c r="E31" s="10"/>
      <c r="F31" s="10"/>
    </row>
    <row r="32" customFormat="false" ht="15" hidden="false" customHeight="false" outlineLevel="0" collapsed="false">
      <c r="A32" s="3" t="s">
        <v>252</v>
      </c>
      <c r="B32" s="9" t="s">
        <v>253</v>
      </c>
      <c r="D32" s="10" t="s">
        <v>254</v>
      </c>
      <c r="E32" s="10"/>
      <c r="F32" s="10"/>
    </row>
    <row r="33" customFormat="false" ht="15" hidden="false" customHeight="false" outlineLevel="0" collapsed="false">
      <c r="A33" s="3" t="s">
        <v>255</v>
      </c>
      <c r="B33" s="9" t="s">
        <v>256</v>
      </c>
      <c r="D33" s="10" t="s">
        <v>257</v>
      </c>
      <c r="E33" s="10"/>
      <c r="F33" s="10"/>
    </row>
  </sheetData>
  <mergeCells count="10">
    <mergeCell ref="A1:F1"/>
    <mergeCell ref="A3:F3"/>
    <mergeCell ref="A9:F9"/>
    <mergeCell ref="A13:F13"/>
    <mergeCell ref="A18:F18"/>
    <mergeCell ref="A24:F24"/>
    <mergeCell ref="A30:F30"/>
    <mergeCell ref="D31:F31"/>
    <mergeCell ref="D32:F32"/>
    <mergeCell ref="D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30"/>
  </cols>
  <sheetData>
    <row r="1" customFormat="false" ht="19.7" hidden="false" customHeight="false" outlineLevel="0" collapsed="false">
      <c r="A1" s="1" t="s">
        <v>258</v>
      </c>
      <c r="B1" s="1"/>
      <c r="C1" s="1"/>
    </row>
    <row r="3" customFormat="false" ht="15" hidden="false" customHeight="false" outlineLevel="0" collapsed="false">
      <c r="A3" s="5" t="s">
        <v>259</v>
      </c>
      <c r="B3" s="5" t="s">
        <v>260</v>
      </c>
      <c r="C3" s="5" t="s">
        <v>261</v>
      </c>
    </row>
    <row r="4" customFormat="false" ht="35.05" hidden="false" customHeight="false" outlineLevel="0" collapsed="false">
      <c r="A4" s="6" t="n">
        <v>1</v>
      </c>
      <c r="B4" s="6" t="s">
        <v>262</v>
      </c>
      <c r="C4" s="6" t="s">
        <v>263</v>
      </c>
    </row>
    <row r="5" customFormat="false" ht="23.85" hidden="false" customHeight="false" outlineLevel="0" collapsed="false">
      <c r="A5" s="6" t="n">
        <v>2</v>
      </c>
      <c r="B5" s="6" t="s">
        <v>264</v>
      </c>
      <c r="C5" s="6" t="s">
        <v>265</v>
      </c>
    </row>
    <row r="6" customFormat="false" ht="23.85" hidden="false" customHeight="false" outlineLevel="0" collapsed="false">
      <c r="A6" s="6" t="n">
        <v>3</v>
      </c>
      <c r="B6" s="6" t="s">
        <v>266</v>
      </c>
      <c r="C6" s="6" t="s">
        <v>267</v>
      </c>
    </row>
    <row r="7" customFormat="false" ht="23.85" hidden="false" customHeight="false" outlineLevel="0" collapsed="false">
      <c r="A7" s="6" t="n">
        <v>4</v>
      </c>
      <c r="B7" s="6" t="s">
        <v>268</v>
      </c>
      <c r="C7" s="6" t="s">
        <v>269</v>
      </c>
    </row>
    <row r="8" customFormat="false" ht="35.05" hidden="false" customHeight="false" outlineLevel="0" collapsed="false">
      <c r="A8" s="6" t="n">
        <v>5</v>
      </c>
      <c r="B8" s="6" t="s">
        <v>270</v>
      </c>
      <c r="C8" s="6" t="s">
        <v>271</v>
      </c>
    </row>
    <row r="9" customFormat="false" ht="23.85" hidden="false" customHeight="false" outlineLevel="0" collapsed="false">
      <c r="A9" s="6" t="n">
        <v>6</v>
      </c>
      <c r="B9" s="6" t="s">
        <v>272</v>
      </c>
      <c r="C9" s="6" t="s">
        <v>273</v>
      </c>
    </row>
    <row r="10" customFormat="false" ht="23.85" hidden="false" customHeight="false" outlineLevel="0" collapsed="false">
      <c r="A10" s="6" t="n">
        <v>7</v>
      </c>
      <c r="B10" s="6" t="s">
        <v>274</v>
      </c>
      <c r="C10" s="6" t="s">
        <v>275</v>
      </c>
    </row>
    <row r="11" customFormat="false" ht="23.85" hidden="false" customHeight="false" outlineLevel="0" collapsed="false">
      <c r="A11" s="6" t="n">
        <v>8</v>
      </c>
      <c r="B11" s="6" t="s">
        <v>276</v>
      </c>
      <c r="C11" s="6" t="s">
        <v>277</v>
      </c>
    </row>
    <row r="12" customFormat="false" ht="35.05" hidden="false" customHeight="false" outlineLevel="0" collapsed="false">
      <c r="A12" s="6" t="n">
        <v>9</v>
      </c>
      <c r="B12" s="6" t="s">
        <v>278</v>
      </c>
      <c r="C12" s="6" t="s">
        <v>279</v>
      </c>
    </row>
    <row r="13" customFormat="false" ht="23.85" hidden="false" customHeight="false" outlineLevel="0" collapsed="false">
      <c r="A13" s="6" t="n">
        <v>10</v>
      </c>
      <c r="B13" s="6" t="s">
        <v>280</v>
      </c>
      <c r="C13" s="6" t="s">
        <v>281</v>
      </c>
    </row>
    <row r="14" customFormat="false" ht="35.05" hidden="false" customHeight="false" outlineLevel="0" collapsed="false">
      <c r="A14" s="6" t="n">
        <v>11</v>
      </c>
      <c r="B14" s="6" t="s">
        <v>282</v>
      </c>
      <c r="C14" s="6" t="s">
        <v>283</v>
      </c>
    </row>
    <row r="15" customFormat="false" ht="23.85" hidden="false" customHeight="false" outlineLevel="0" collapsed="false">
      <c r="A15" s="6" t="n">
        <v>12</v>
      </c>
      <c r="B15" s="6" t="s">
        <v>284</v>
      </c>
      <c r="C15" s="6" t="s">
        <v>285</v>
      </c>
    </row>
    <row r="16" customFormat="false" ht="15" hidden="false" customHeight="false" outlineLevel="0" collapsed="false">
      <c r="A16" s="6" t="n">
        <v>13</v>
      </c>
      <c r="B16" s="6" t="s">
        <v>286</v>
      </c>
      <c r="C16" s="6" t="s">
        <v>287</v>
      </c>
    </row>
    <row r="17" customFormat="false" ht="15" hidden="false" customHeight="false" outlineLevel="0" collapsed="false">
      <c r="A17" s="6" t="n">
        <v>14</v>
      </c>
      <c r="B17" s="6" t="s">
        <v>288</v>
      </c>
      <c r="C17" s="6" t="s">
        <v>289</v>
      </c>
    </row>
    <row r="19" customFormat="false" ht="15" hidden="false" customHeight="false" outlineLevel="0" collapsed="false">
      <c r="A19" s="10" t="s">
        <v>290</v>
      </c>
      <c r="B19" s="10"/>
      <c r="C19" s="10"/>
    </row>
  </sheetData>
  <mergeCells count="2">
    <mergeCell ref="A1:C1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2026-09-18T09:29:49Z</dcterms:created>
  <dc:creator>openpyxl</dc:creator>
  <dc:description/>
  <dc:language>en-US</dc:language>
  <cp:lastModifiedBy/>
  <dcterms:modified xsi:type="dcterms:W3CDTF">2026-09-18T09:29:49Z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